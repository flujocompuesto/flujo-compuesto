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28A46"/>
      <sz val="9"/>
    </font>
    <font>
      <name val="Calibri"/>
      <b val="1"/>
      <color rgb="0024344B"/>
      <sz val="16"/>
    </font>
    <font>
      <name val="Calibri"/>
      <color rgb="0064707F"/>
      <sz val="10"/>
    </font>
    <font>
      <name val="Calibri"/>
      <b val="1"/>
      <color rgb="00FFFFFF"/>
      <sz val="12"/>
    </font>
    <font>
      <name val="Calibri"/>
      <color rgb="003A4A45"/>
      <sz val="11"/>
    </font>
    <font>
      <name val="Calibri"/>
      <b val="1"/>
      <color rgb="0024344B"/>
      <sz val="12"/>
    </font>
    <font>
      <name val="Calibri"/>
      <color rgb="0064707F"/>
      <sz val="9"/>
    </font>
    <font>
      <name val="Calibri"/>
      <b val="1"/>
      <color rgb="00128A46"/>
      <sz val="14"/>
    </font>
    <font>
      <name val="Calibri"/>
      <color rgb="003A4A45"/>
      <sz val="10"/>
    </font>
    <font>
      <name val="Calibri"/>
      <color rgb="0064707F"/>
      <sz val="8"/>
    </font>
  </fonts>
  <fills count="4">
    <fill>
      <patternFill/>
    </fill>
    <fill>
      <patternFill patternType="gray125"/>
    </fill>
    <fill>
      <patternFill patternType="solid">
        <fgColor rgb="0024344B"/>
      </patternFill>
    </fill>
    <fill>
      <patternFill patternType="solid">
        <fgColor rgb="00DCF7E8"/>
      </patternFill>
    </fill>
  </fills>
  <borders count="2">
    <border>
      <left/>
      <right/>
      <top/>
      <bottom/>
      <diagonal/>
    </border>
    <border>
      <left style="thin">
        <color rgb="00E2E5E9"/>
      </left>
      <right style="thin">
        <color rgb="00E2E5E9"/>
      </right>
      <top style="thin">
        <color rgb="00E2E5E9"/>
      </top>
      <bottom style="thin">
        <color rgb="00E2E5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5" fontId="8" fillId="3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vertical="top" wrapText="1"/>
    </xf>
    <xf numFmtId="0" fontId="0" fillId="3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3" customWidth="1" min="4" max="4"/>
    <col width="40" customWidth="1" min="5" max="5"/>
  </cols>
  <sheetData>
    <row r="1">
      <c r="B1" s="1" t="inlineStr">
        <is>
          <t>FLUJO COMPUESTO</t>
        </is>
      </c>
    </row>
    <row r="2" ht="24" customHeight="1">
      <c r="B2" s="2" t="inlineStr">
        <is>
          <t>De cero a tu primer portafolio, sin miedo — Plantilla de arranque</t>
        </is>
      </c>
    </row>
    <row r="3">
      <c r="B3" s="3" t="inlineStr">
        <is>
          <t>Llena solo las celdas verdes. El resto se calcula solo.</t>
        </is>
      </c>
    </row>
    <row r="4" ht="6" customHeight="1"/>
    <row r="5" ht="22" customHeight="1">
      <c r="B5" s="4" t="inlineStr">
        <is>
          <t>1 · Tus datos</t>
        </is>
      </c>
    </row>
    <row r="6" ht="22" customHeight="1">
      <c r="B6" s="5" t="inlineStr">
        <is>
          <t>Ingreso mensual (USD)</t>
        </is>
      </c>
      <c r="C6" s="6" t="n">
        <v>5000</v>
      </c>
      <c r="E6" s="7" t="inlineStr">
        <is>
          <t>Lo que ganas al mes, después de impuestos.</t>
        </is>
      </c>
    </row>
    <row r="7" ht="22" customHeight="1">
      <c r="B7" s="5" t="inlineStr">
        <is>
          <t>Gasto mensual (USD)</t>
        </is>
      </c>
      <c r="C7" s="6" t="n">
        <v>3500</v>
      </c>
      <c r="E7" s="7" t="inlineStr">
        <is>
          <t>Lo que gastas al mes en total.</t>
        </is>
      </c>
    </row>
    <row r="8" ht="22" customHeight="1">
      <c r="B8" s="5" t="inlineStr">
        <is>
          <t>Patrimonio actual invertido (USD)</t>
        </is>
      </c>
      <c r="C8" s="6" t="n">
        <v>2000</v>
      </c>
      <c r="E8" s="7" t="inlineStr">
        <is>
          <t>Lo que ya tienes invertido hoy (si empiezas de cero, 0).</t>
        </is>
      </c>
    </row>
    <row r="9" ht="22" customHeight="1">
      <c r="B9" s="5" t="inlineStr">
        <is>
          <t>Rendimiento anual esperado (%)</t>
        </is>
      </c>
      <c r="C9" s="8" t="n">
        <v>0.07000000000000001</v>
      </c>
      <c r="E9" s="7" t="inlineStr">
        <is>
          <t>7% ≈ rendimiento real histórico del mercado.</t>
        </is>
      </c>
    </row>
    <row r="10" ht="22" customHeight="1">
      <c r="B10" s="5" t="inlineStr">
        <is>
          <t>Años que vas a invertir</t>
        </is>
      </c>
      <c r="C10" s="9" t="n">
        <v>25</v>
      </c>
      <c r="E10" s="7" t="inlineStr">
        <is>
          <t>Tu horizonte: mientras más largo, mejor.</t>
        </is>
      </c>
    </row>
    <row r="12" ht="22" customHeight="1">
      <c r="B12" s="4" t="inlineStr">
        <is>
          <t>2 · Tu tasa de ahorro</t>
        </is>
      </c>
    </row>
    <row r="13" ht="22" customHeight="1">
      <c r="B13" s="5" t="inlineStr">
        <is>
          <t>Ahorro mensual (ingreso − gasto)</t>
        </is>
      </c>
      <c r="C13" s="10">
        <f>C6-C7</f>
        <v/>
      </c>
      <c r="E13" s="7" t="inlineStr">
        <is>
          <t>Esto es lo que puedes invertir cada mes.</t>
        </is>
      </c>
    </row>
    <row r="14" ht="26" customHeight="1">
      <c r="B14" s="11" t="inlineStr">
        <is>
          <t>Tu tasa de ahorro</t>
        </is>
      </c>
      <c r="C14" s="12">
        <f>IF(C6&gt;0,(C6-C7)/C6,0)</f>
        <v/>
      </c>
      <c r="E14" s="7" t="inlineStr">
        <is>
          <t>Meta sana: 15-20%+. Págate primero a ti mismo.</t>
        </is>
      </c>
    </row>
    <row r="16" ht="22" customHeight="1">
      <c r="B16" s="4" t="inlineStr">
        <is>
          <t>3 · A dónde te lleva tu plan</t>
        </is>
      </c>
    </row>
    <row r="17" ht="22" customHeight="1">
      <c r="B17" s="5" t="inlineStr">
        <is>
          <t>Total que habrás aportado</t>
        </is>
      </c>
      <c r="C17" s="10">
        <f>C8+(C13*12*C10)</f>
        <v/>
      </c>
      <c r="E17" s="7" t="inlineStr">
        <is>
          <t>Tu dinero, sumado sin rendimiento.</t>
        </is>
      </c>
    </row>
    <row r="18" ht="26" customHeight="1">
      <c r="B18" s="11" t="inlineStr">
        <is>
          <t>Valor proyectado al final</t>
        </is>
      </c>
      <c r="C18" s="13">
        <f>C8*(1+C9/12)^(C10*12)+C13*(((1+C9/12)^(C10*12)-1)/(C9/12))</f>
        <v/>
      </c>
      <c r="E18" s="7" t="inlineStr">
        <is>
          <t>Con interés compuesto (capitalización mensual).</t>
        </is>
      </c>
    </row>
    <row r="19" ht="22" customHeight="1">
      <c r="B19" s="5" t="inlineStr">
        <is>
          <t>Lo que generó el interés compuesto</t>
        </is>
      </c>
      <c r="C19" s="10">
        <f>C18-C17</f>
        <v/>
      </c>
      <c r="E19" s="7" t="inlineStr">
        <is>
          <t>Dinero que creó tu dinero — sin trabajar tú.</t>
        </is>
      </c>
    </row>
    <row r="21" ht="22" customHeight="1">
      <c r="B21" s="4" t="inlineStr">
        <is>
          <t>4 · Tu número (Regla del 4%)</t>
        </is>
      </c>
    </row>
    <row r="22" ht="26" customHeight="1">
      <c r="B22" s="11" t="inlineStr">
        <is>
          <t>Patrimonio para ser libre (gastos × 25)</t>
        </is>
      </c>
      <c r="C22" s="13">
        <f>C7*12*25</f>
        <v/>
      </c>
      <c r="E22" s="7" t="inlineStr">
        <is>
          <t>Con esto, el 4% anual cubre tus gastos para siempre.</t>
        </is>
      </c>
    </row>
    <row r="23" ht="22" customHeight="1">
      <c r="B23" s="5" t="inlineStr">
        <is>
          <t>Ingreso pasivo al 4% anual</t>
        </is>
      </c>
      <c r="C23" s="10">
        <f>C22*0.04/12</f>
        <v/>
      </c>
      <c r="E23" s="7" t="inlineStr">
        <is>
          <t>Lo que generaría tu número cada mes, sin tocar el capital.</t>
        </is>
      </c>
    </row>
    <row r="24" ht="22" customHeight="1">
      <c r="B24" s="5" t="inlineStr">
        <is>
          <t>¿Tu plan te acerca a tu número?</t>
        </is>
      </c>
      <c r="C24" s="14">
        <f>IF(C18&gt;=C22,"Sí — lo alcanzas ","Vas al "&amp;TEXT(C18/C22,"0%")&amp;" de tu número")</f>
        <v/>
      </c>
      <c r="E24" s="7" t="inlineStr">
        <is>
          <t>Ajusta tu ahorro o años para acercarte.</t>
        </is>
      </c>
    </row>
    <row r="26">
      <c r="B26" s="15" t="inlineStr">
        <is>
          <t>Cómo usar esta plantilla: cambia las celdas verdes y observa cómo se mueven tus resultados. Sube tu ahorro un poco, o suma unos años, y verás el poder del interés compuesto. Lo importante no es tener los números perfectos hoy — es empezar y ser constante.</t>
        </is>
      </c>
      <c r="C26" s="16" t="n"/>
      <c r="D26" s="16" t="n"/>
      <c r="E26" s="16" t="n"/>
    </row>
    <row r="27">
      <c r="B27" s="16" t="n"/>
      <c r="C27" s="16" t="n"/>
      <c r="D27" s="16" t="n"/>
      <c r="E27" s="16" t="n"/>
    </row>
    <row r="28">
      <c r="B28" s="16" t="n"/>
      <c r="C28" s="16" t="n"/>
      <c r="D28" s="16" t="n"/>
      <c r="E28" s="16" t="n"/>
    </row>
    <row r="30">
      <c r="B30" s="17" t="inlineStr">
        <is>
          <t>Contenido educativo. No es asesoría de inversión. Rendimientos ilustrativos; los mercados reales fluctúan.  ·  flujocompuesto.com</t>
        </is>
      </c>
    </row>
  </sheetData>
  <mergeCells count="9">
    <mergeCell ref="B1:E1"/>
    <mergeCell ref="B26:E28"/>
    <mergeCell ref="B12:E12"/>
    <mergeCell ref="B21:E21"/>
    <mergeCell ref="B16:E16"/>
    <mergeCell ref="B30:E30"/>
    <mergeCell ref="B3:E3"/>
    <mergeCell ref="B5:E5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2026-07-13T23:11:59Z</dcterms:created>
  <dcterms:modified xsi:type="dcterms:W3CDTF">2026-07-13T23:11:59Z</dcterms:modified>
</cp:coreProperties>
</file>